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 repositorio\otm-106 practica 4\otm-106-practica4\datos\"/>
    </mc:Choice>
  </mc:AlternateContent>
  <xr:revisionPtr revIDLastSave="0" documentId="8_{D326681F-63B3-41A5-B897-60ACA42AAFC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C5" i="5" s="1"/>
  <c r="B10" i="4"/>
  <c r="C3" i="4" s="1"/>
  <c r="B4" i="3"/>
  <c r="C2" i="3" s="1"/>
  <c r="B7" i="2"/>
  <c r="C4" i="2" s="1"/>
  <c r="B4" i="1"/>
  <c r="C3" i="1" s="1"/>
  <c r="C2" i="1" l="1"/>
  <c r="C4" i="1" s="1"/>
  <c r="C3" i="5"/>
  <c r="C4" i="5"/>
  <c r="C2" i="2"/>
  <c r="C3" i="3"/>
  <c r="C4" i="3" s="1"/>
  <c r="C5" i="4"/>
  <c r="C2" i="5"/>
  <c r="C3" i="2"/>
  <c r="C2" i="4"/>
  <c r="C9" i="4"/>
  <c r="C8" i="4"/>
  <c r="C7" i="4"/>
  <c r="C6" i="4"/>
  <c r="C4" i="4"/>
  <c r="C9" i="5"/>
  <c r="C8" i="5"/>
  <c r="C6" i="2"/>
  <c r="C7" i="5"/>
  <c r="C5" i="2"/>
  <c r="C6" i="5"/>
  <c r="C10" i="4" l="1"/>
  <c r="C10" i="5"/>
  <c r="C7" i="2"/>
</calcChain>
</file>

<file path=xl/sharedStrings.xml><?xml version="1.0" encoding="utf-8"?>
<sst xmlns="http://schemas.openxmlformats.org/spreadsheetml/2006/main" count="45" uniqueCount="22">
  <si>
    <t>Detalle</t>
  </si>
  <si>
    <t>Valor</t>
  </si>
  <si>
    <t>Porcentaje</t>
  </si>
  <si>
    <t>Femenino</t>
  </si>
  <si>
    <t>Masculino</t>
  </si>
  <si>
    <t>Agua domiciliaria</t>
  </si>
  <si>
    <t>Electricidad de RED</t>
  </si>
  <si>
    <t>Escuela</t>
  </si>
  <si>
    <t>Telefonía Celular</t>
  </si>
  <si>
    <t>Garrafa de GLP</t>
  </si>
  <si>
    <t xml:space="preserve"> Agricultura</t>
  </si>
  <si>
    <t>Ganadería</t>
  </si>
  <si>
    <t>Niños (M) (0 – 5)</t>
  </si>
  <si>
    <t>Niños (F) (0 – 5)</t>
  </si>
  <si>
    <t>Niño/Joven (M ) (6 – 17)</t>
  </si>
  <si>
    <t>Niño/Joven (F) (6 – 17)</t>
  </si>
  <si>
    <t>Adultos (M) (18 – 60)</t>
  </si>
  <si>
    <t>Adultos (F) (18 – 60)</t>
  </si>
  <si>
    <t>3ra edad (M) (&gt;60)</t>
  </si>
  <si>
    <t>3ra edad (F) (&gt;60)</t>
  </si>
  <si>
    <t xml:space="preserve">TOTAL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</si>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</sst>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Cambria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FBF5E5"/>
        <bgColor rgb="FFFFFFFF"/>
      </patternFill>
    </fill>
    <fill>
      <patternFill patternType="solid">
        <fgColor rgb="FFE3F0E4"/>
        <bgColor rgb="FFFBF5E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1">
      <alignment horizontal="justify" vertical="center" wrapText="1"/>
    </xf>
    <xf numFmtId="0" fontId="2" fillId="2" borderId="2">
      <alignment horizontal="center" vertical="center" wrapText="1"/>
    </xf>
  </cellStyleXfs>
  <cellXfs count="9">
    <xf numFmtId="0" fontId="0" fillId="0" borderId="0" xfId="0"/>
    <xf numFmtId="0" fontId="2" fillId="2" borderId="2" xfId="2">
      <alignment horizontal="center" vertical="center" wrapText="1"/>
    </xf>
    <xf numFmtId="0" fontId="1" fillId="0" borderId="3" xfId="1" applyBorder="1">
      <alignment horizontal="justify" vertical="center" wrapText="1"/>
    </xf>
    <xf numFmtId="0" fontId="1" fillId="0" borderId="1" xfId="1">
      <alignment horizontal="justify" vertical="center" wrapText="1"/>
    </xf>
    <xf numFmtId="0" fontId="1" fillId="0" borderId="5" xfId="1" applyBorder="1">
      <alignment horizontal="justify" vertical="center" wrapText="1"/>
    </xf>
    <xf numFmtId="0" fontId="1" fillId="0" borderId="6" xfId="1" applyBorder="1">
      <alignment horizontal="justify" vertical="center" wrapText="1"/>
    </xf>
    <xf numFmtId="10" fontId="1" fillId="0" borderId="4" xfId="1" applyNumberFormat="1" applyBorder="1">
      <alignment horizontal="justify" vertical="center" wrapText="1"/>
    </xf>
    <xf numFmtId="10" fontId="0" fillId="0" borderId="0" xfId="0" applyNumberFormat="1"/>
    <xf numFmtId="0" fontId="1" fillId="0" borderId="7" xfId="1" applyBorder="1">
      <alignment horizontal="justify" vertical="center" wrapText="1"/>
    </xf>
  </cellXfs>
  <cellStyles count="3">
    <cellStyle name="estilo_dato" xfId="1" xr:uid="{00000000-0005-0000-0000-000006000000}"/>
    <cellStyle name="estilo_encabezado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5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0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756167979002626"/>
          <c:y val="0.22004447360746568"/>
          <c:w val="0.34487685914260718"/>
          <c:h val="0.5747947652376785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DC-4D33-8C56-4E345FF2A4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DC-4D33-8C56-4E345FF2A4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Hoja1!$B$2:$B$3</c:f>
              <c:numCache>
                <c:formatCode>General</c:formatCode>
                <c:ptCount val="2"/>
                <c:pt idx="0">
                  <c:v>10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6-4116-967E-221E0E535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46543788464109E-2"/>
          <c:y val="0.22903352971183602"/>
          <c:w val="0.89474175695382774"/>
          <c:h val="0.489621856028591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Hoja1!$B$2:$C$2</c:f>
              <c:numCache>
                <c:formatCode>0.00%</c:formatCode>
                <c:ptCount val="2"/>
                <c:pt idx="0" formatCode="General">
                  <c:v>10</c:v>
                </c:pt>
                <c:pt idx="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9-4966-8ABD-2F663BB2BE42}"/>
            </c:ext>
          </c:extLst>
        </c:ser>
        <c:ser>
          <c:idx val="1"/>
          <c:order val="1"/>
          <c:tx>
            <c:strRef>
              <c:f>Hoja1!$A$3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Hoja1!$B$3:$C$3</c:f>
              <c:numCache>
                <c:formatCode>0.00%</c:formatCode>
                <c:ptCount val="2"/>
                <c:pt idx="0" formatCode="General">
                  <c:v>2</c:v>
                </c:pt>
                <c:pt idx="1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9-4966-8ABD-2F663BB2B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5934408"/>
        <c:axId val="575934768"/>
      </c:barChart>
      <c:catAx>
        <c:axId val="575934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5934768"/>
        <c:crosses val="autoZero"/>
        <c:auto val="1"/>
        <c:lblAlgn val="ctr"/>
        <c:lblOffset val="100"/>
        <c:noMultiLvlLbl val="0"/>
      </c:catAx>
      <c:valAx>
        <c:axId val="57593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7593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AA-455E-80DA-0DCCF8936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AA-455E-80DA-0DCCF8936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AA-455E-80DA-0DCCF8936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AA-455E-80DA-0DCCF8936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AA-455E-80DA-0DCCF893622A}"/>
              </c:ext>
            </c:extLst>
          </c:dPt>
          <c:cat>
            <c:strRef>
              <c:f>Hoja2!$A$2:$A$6</c:f>
              <c:strCache>
                <c:ptCount val="5"/>
                <c:pt idx="0">
                  <c:v>Agua domiciliaria</c:v>
                </c:pt>
                <c:pt idx="1">
                  <c:v>Electricidad de RED</c:v>
                </c:pt>
                <c:pt idx="2">
                  <c:v>Escuela</c:v>
                </c:pt>
                <c:pt idx="3">
                  <c:v>Telefonía Celular</c:v>
                </c:pt>
                <c:pt idx="4">
                  <c:v>Garrafa de GLP</c:v>
                </c:pt>
              </c:strCache>
            </c:strRef>
          </c:cat>
          <c:val>
            <c:numRef>
              <c:f>Hoja2!$B$2:$B$6</c:f>
              <c:numCache>
                <c:formatCode>General</c:formatCode>
                <c:ptCount val="5"/>
                <c:pt idx="0">
                  <c:v>12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0-4398-8AFE-E0FB8DA4D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243486397157189"/>
          <c:y val="0.25336661761162177"/>
          <c:w val="0.61441260840490264"/>
          <c:h val="0.431900086922097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Hoja2!$A$2:$A$6</c:f>
              <c:strCache>
                <c:ptCount val="5"/>
                <c:pt idx="0">
                  <c:v>Agua domiciliaria</c:v>
                </c:pt>
                <c:pt idx="1">
                  <c:v>Electricidad de RED</c:v>
                </c:pt>
                <c:pt idx="2">
                  <c:v>Escuela</c:v>
                </c:pt>
                <c:pt idx="3">
                  <c:v>Telefonía Celular</c:v>
                </c:pt>
                <c:pt idx="4">
                  <c:v>Garrafa de GLP</c:v>
                </c:pt>
              </c:strCache>
            </c:strRef>
          </c:cat>
          <c:val>
            <c:numRef>
              <c:f>Hoja2!$B$2:$B$6</c:f>
              <c:numCache>
                <c:formatCode>General</c:formatCode>
                <c:ptCount val="5"/>
                <c:pt idx="0">
                  <c:v>12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2-4EBD-8CA8-D53A62EB5D1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Hoja2!$A$2:$A$6</c:f>
              <c:strCache>
                <c:ptCount val="5"/>
                <c:pt idx="0">
                  <c:v>Agua domiciliaria</c:v>
                </c:pt>
                <c:pt idx="1">
                  <c:v>Electricidad de RED</c:v>
                </c:pt>
                <c:pt idx="2">
                  <c:v>Escuela</c:v>
                </c:pt>
                <c:pt idx="3">
                  <c:v>Telefonía Celular</c:v>
                </c:pt>
                <c:pt idx="4">
                  <c:v>Garrafa de GLP</c:v>
                </c:pt>
              </c:strCache>
            </c:strRef>
          </c:cat>
          <c:val>
            <c:numRef>
              <c:f>Hoja2!$C$2:$C$6</c:f>
              <c:numCache>
                <c:formatCode>0.00%</c:formatCode>
                <c:ptCount val="5"/>
                <c:pt idx="0">
                  <c:v>0.26666666666666666</c:v>
                </c:pt>
                <c:pt idx="1">
                  <c:v>0.22222222222222221</c:v>
                </c:pt>
                <c:pt idx="2">
                  <c:v>0.22222222222222221</c:v>
                </c:pt>
                <c:pt idx="3">
                  <c:v>0.22222222222222221</c:v>
                </c:pt>
                <c:pt idx="4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2-4EBD-8CA8-D53A62EB5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165848"/>
        <c:axId val="744168368"/>
      </c:barChart>
      <c:catAx>
        <c:axId val="744165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4168368"/>
        <c:crosses val="autoZero"/>
        <c:auto val="1"/>
        <c:lblAlgn val="ctr"/>
        <c:lblOffset val="100"/>
        <c:noMultiLvlLbl val="0"/>
      </c:catAx>
      <c:valAx>
        <c:axId val="74416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416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Hoja3!$A$2</c:f>
              <c:strCache>
                <c:ptCount val="1"/>
                <c:pt idx="0">
                  <c:v> Agricultura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Hoja3!$B$2:$C$2</c:f>
              <c:numCache>
                <c:formatCode>0.00%</c:formatCode>
                <c:ptCount val="2"/>
                <c:pt idx="0" formatCode="General">
                  <c:v>12</c:v>
                </c:pt>
                <c:pt idx="1">
                  <c:v>0.52173913043478259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A-4AE7-9B1D-E086EB7217A9}"/>
            </c:ext>
          </c:extLst>
        </c:ser>
        <c:ser>
          <c:idx val="1"/>
          <c:order val="1"/>
          <c:tx>
            <c:strRef>
              <c:f>Hoja3!$A$3</c:f>
              <c:strCache>
                <c:ptCount val="1"/>
                <c:pt idx="0">
                  <c:v>Ganadería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Hoja3!$B$3:$C$3</c:f>
              <c:numCache>
                <c:formatCode>0.00%</c:formatCode>
                <c:ptCount val="2"/>
                <c:pt idx="0" formatCode="General">
                  <c:v>11</c:v>
                </c:pt>
                <c:pt idx="1">
                  <c:v>0.47826086956521741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7A-4AE7-9B1D-E086EB72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0347200"/>
        <c:axId val="750354040"/>
      </c:barChart>
      <c:catAx>
        <c:axId val="75034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354040"/>
        <c:crosses val="autoZero"/>
        <c:auto val="1"/>
        <c:lblAlgn val="ctr"/>
        <c:lblOffset val="100"/>
        <c:noMultiLvlLbl val="0"/>
      </c:catAx>
      <c:valAx>
        <c:axId val="75035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5034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7-48CC-AC2A-2785ADDB91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77-48CC-AC2A-2785ADDB911B}"/>
              </c:ext>
            </c:extLst>
          </c:dPt>
          <c:cat>
            <c:strRef>
              <c:f>Hoja3!$A$2:$A$3</c:f>
              <c:strCache>
                <c:ptCount val="2"/>
                <c:pt idx="0">
                  <c:v> Agricultura</c:v>
                </c:pt>
                <c:pt idx="1">
                  <c:v>Ganadería</c:v>
                </c:pt>
              </c:strCache>
            </c:strRef>
          </c:cat>
          <c:val>
            <c:numRef>
              <c:f>Hoja3!$B$2:$B$3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C-4FD5-8F11-70E531660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02-4187-9BC2-DCE83AACCA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02-4187-9BC2-DCE83AACCA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02-4187-9BC2-DCE83AACCA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02-4187-9BC2-DCE83AACCA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02-4187-9BC2-DCE83AACCA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02-4187-9BC2-DCE83AACCA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02-4187-9BC2-DCE83AACCAD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02-4187-9BC2-DCE83AACCAD2}"/>
              </c:ext>
            </c:extLst>
          </c:dPt>
          <c:cat>
            <c:strRef>
              <c:f>Hoja4!$A$2:$A$9</c:f>
              <c:strCache>
                <c:ptCount val="8"/>
                <c:pt idx="0">
                  <c:v>Niños (M) (0 – 5)</c:v>
                </c:pt>
                <c:pt idx="1">
                  <c:v>Niños (F) (0 – 5)</c:v>
                </c:pt>
                <c:pt idx="2">
                  <c:v>Niño/Joven (M ) (6 – 17)</c:v>
                </c:pt>
                <c:pt idx="3">
                  <c:v>Niño/Joven (F) (6 – 17)</c:v>
                </c:pt>
                <c:pt idx="4">
                  <c:v>Adultos (M) (18 – 60)</c:v>
                </c:pt>
                <c:pt idx="5">
                  <c:v>Adultos (F) (18 – 60)</c:v>
                </c:pt>
                <c:pt idx="6">
                  <c:v>3ra edad (M) (&gt;60)</c:v>
                </c:pt>
                <c:pt idx="7">
                  <c:v>3ra edad (F) (&gt;60)</c:v>
                </c:pt>
              </c:strCache>
            </c:strRef>
          </c:cat>
          <c:val>
            <c:numRef>
              <c:f>Hoja4!$B$2:$B$9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16</c:v>
                </c:pt>
                <c:pt idx="5">
                  <c:v>14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F-46C5-9C01-968D12E37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Hoja4!$A$2:$A$9</c:f>
              <c:strCache>
                <c:ptCount val="8"/>
                <c:pt idx="0">
                  <c:v>Niños (M) (0 – 5)</c:v>
                </c:pt>
                <c:pt idx="1">
                  <c:v>Niños (F) (0 – 5)</c:v>
                </c:pt>
                <c:pt idx="2">
                  <c:v>Niño/Joven (M ) (6 – 17)</c:v>
                </c:pt>
                <c:pt idx="3">
                  <c:v>Niño/Joven (F) (6 – 17)</c:v>
                </c:pt>
                <c:pt idx="4">
                  <c:v>Adultos (M) (18 – 60)</c:v>
                </c:pt>
                <c:pt idx="5">
                  <c:v>Adultos (F) (18 – 60)</c:v>
                </c:pt>
                <c:pt idx="6">
                  <c:v>3ra edad (M) (&gt;60)</c:v>
                </c:pt>
                <c:pt idx="7">
                  <c:v>3ra edad (F) (&gt;60)</c:v>
                </c:pt>
              </c:strCache>
            </c:strRef>
          </c:cat>
          <c:val>
            <c:numRef>
              <c:f>Hoja4!$B$2:$B$9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16</c:v>
                </c:pt>
                <c:pt idx="5">
                  <c:v>14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9-40C6-96AD-D1F21FA087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Hoja4!$A$2:$A$9</c:f>
              <c:strCache>
                <c:ptCount val="8"/>
                <c:pt idx="0">
                  <c:v>Niños (M) (0 – 5)</c:v>
                </c:pt>
                <c:pt idx="1">
                  <c:v>Niños (F) (0 – 5)</c:v>
                </c:pt>
                <c:pt idx="2">
                  <c:v>Niño/Joven (M ) (6 – 17)</c:v>
                </c:pt>
                <c:pt idx="3">
                  <c:v>Niño/Joven (F) (6 – 17)</c:v>
                </c:pt>
                <c:pt idx="4">
                  <c:v>Adultos (M) (18 – 60)</c:v>
                </c:pt>
                <c:pt idx="5">
                  <c:v>Adultos (F) (18 – 60)</c:v>
                </c:pt>
                <c:pt idx="6">
                  <c:v>3ra edad (M) (&gt;60)</c:v>
                </c:pt>
                <c:pt idx="7">
                  <c:v>3ra edad (F) (&gt;60)</c:v>
                </c:pt>
              </c:strCache>
            </c:strRef>
          </c:cat>
          <c:val>
            <c:numRef>
              <c:f>Hoja4!$C$2:$C$9</c:f>
              <c:numCache>
                <c:formatCode>0.00%</c:formatCode>
                <c:ptCount val="8"/>
                <c:pt idx="0">
                  <c:v>0.15873015873015872</c:v>
                </c:pt>
                <c:pt idx="1">
                  <c:v>0.12698412698412698</c:v>
                </c:pt>
                <c:pt idx="2">
                  <c:v>6.3492063492063489E-2</c:v>
                </c:pt>
                <c:pt idx="3">
                  <c:v>7.9365079365079361E-2</c:v>
                </c:pt>
                <c:pt idx="4">
                  <c:v>0.25396825396825395</c:v>
                </c:pt>
                <c:pt idx="5">
                  <c:v>0.22222222222222221</c:v>
                </c:pt>
                <c:pt idx="6">
                  <c:v>6.3492063492063489E-2</c:v>
                </c:pt>
                <c:pt idx="7">
                  <c:v>3.1746031746031744E-2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9-40C6-96AD-D1F21FA08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9850320"/>
        <c:axId val="749849600"/>
      </c:barChart>
      <c:catAx>
        <c:axId val="74985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9849600"/>
        <c:crosses val="autoZero"/>
        <c:auto val="1"/>
        <c:lblAlgn val="ctr"/>
        <c:lblOffset val="100"/>
        <c:noMultiLvlLbl val="0"/>
      </c:catAx>
      <c:valAx>
        <c:axId val="7498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985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59-45D9-9362-FD499F5148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59-45D9-9362-FD499F5148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59-45D9-9362-FD499F5148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59-45D9-9362-FD499F5148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59-45D9-9362-FD499F5148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59-45D9-9362-FD499F5148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59-45D9-9362-FD499F51488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59-45D9-9362-FD499F514881}"/>
              </c:ext>
            </c:extLst>
          </c:dPt>
          <c:cat>
            <c:strRef>
              <c:f>Hoja5!$A$2:$A$9</c:f>
              <c:strCache>
                <c:ptCount val="8"/>
                <c:pt idx="0">
                  <c:v>Niños (M) (0 – 5)</c:v>
                </c:pt>
                <c:pt idx="1">
                  <c:v>Niños (F) (0 – 5)</c:v>
                </c:pt>
                <c:pt idx="2">
                  <c:v>Niño/Joven (M ) (6 – 17)</c:v>
                </c:pt>
                <c:pt idx="3">
                  <c:v>Niño/Joven (F) (6 – 17)</c:v>
                </c:pt>
                <c:pt idx="4">
                  <c:v>Adultos (M) (18 – 60)</c:v>
                </c:pt>
                <c:pt idx="5">
                  <c:v>Adultos (F) (18 – 60)</c:v>
                </c:pt>
                <c:pt idx="6">
                  <c:v>3ra edad (M) (&gt;60)</c:v>
                </c:pt>
                <c:pt idx="7">
                  <c:v>3ra edad (F) (&gt;60)</c:v>
                </c:pt>
              </c:strCache>
            </c:strRef>
          </c:cat>
          <c:val>
            <c:numRef>
              <c:f>Hoja5!$B$2:$B$9</c:f>
              <c:numCache>
                <c:formatCode>General</c:formatCode>
                <c:ptCount val="8"/>
                <c:pt idx="0">
                  <c:v>0.83</c:v>
                </c:pt>
                <c:pt idx="1">
                  <c:v>0.67</c:v>
                </c:pt>
                <c:pt idx="2">
                  <c:v>0.33</c:v>
                </c:pt>
                <c:pt idx="3">
                  <c:v>0.42</c:v>
                </c:pt>
                <c:pt idx="4">
                  <c:v>1.33</c:v>
                </c:pt>
                <c:pt idx="5">
                  <c:v>1.17</c:v>
                </c:pt>
                <c:pt idx="6">
                  <c:v>0.33</c:v>
                </c:pt>
                <c:pt idx="7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C-4C0C-B2D2-84699F411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590206387658223"/>
          <c:y val="0.52613864084975259"/>
          <c:w val="0.71746348208010846"/>
          <c:h val="0.43437317166323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Hoja5!$A$2:$A$9</c:f>
              <c:strCache>
                <c:ptCount val="8"/>
                <c:pt idx="0">
                  <c:v>Niños (M) (0 – 5)</c:v>
                </c:pt>
                <c:pt idx="1">
                  <c:v>Niños (F) (0 – 5)</c:v>
                </c:pt>
                <c:pt idx="2">
                  <c:v>Niño/Joven (M ) (6 – 17)</c:v>
                </c:pt>
                <c:pt idx="3">
                  <c:v>Niño/Joven (F) (6 – 17)</c:v>
                </c:pt>
                <c:pt idx="4">
                  <c:v>Adultos (M) (18 – 60)</c:v>
                </c:pt>
                <c:pt idx="5">
                  <c:v>Adultos (F) (18 – 60)</c:v>
                </c:pt>
                <c:pt idx="6">
                  <c:v>3ra edad (M) (&gt;60)</c:v>
                </c:pt>
                <c:pt idx="7">
                  <c:v>3ra edad (F) (&gt;60)</c:v>
                </c:pt>
              </c:strCache>
            </c:strRef>
          </c:cat>
          <c:val>
            <c:numRef>
              <c:f>Hoja5!$B$2:$B$9</c:f>
              <c:numCache>
                <c:formatCode>General</c:formatCode>
                <c:ptCount val="8"/>
                <c:pt idx="0">
                  <c:v>0.83</c:v>
                </c:pt>
                <c:pt idx="1">
                  <c:v>0.67</c:v>
                </c:pt>
                <c:pt idx="2">
                  <c:v>0.33</c:v>
                </c:pt>
                <c:pt idx="3">
                  <c:v>0.42</c:v>
                </c:pt>
                <c:pt idx="4">
                  <c:v>1.33</c:v>
                </c:pt>
                <c:pt idx="5">
                  <c:v>1.17</c:v>
                </c:pt>
                <c:pt idx="6">
                  <c:v>0.33</c:v>
                </c:pt>
                <c:pt idx="7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1-4F6B-AAFB-9C2B0C822A0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Hoja5!$A$2:$A$9</c:f>
              <c:strCache>
                <c:ptCount val="8"/>
                <c:pt idx="0">
                  <c:v>Niños (M) (0 – 5)</c:v>
                </c:pt>
                <c:pt idx="1">
                  <c:v>Niños (F) (0 – 5)</c:v>
                </c:pt>
                <c:pt idx="2">
                  <c:v>Niño/Joven (M ) (6 – 17)</c:v>
                </c:pt>
                <c:pt idx="3">
                  <c:v>Niño/Joven (F) (6 – 17)</c:v>
                </c:pt>
                <c:pt idx="4">
                  <c:v>Adultos (M) (18 – 60)</c:v>
                </c:pt>
                <c:pt idx="5">
                  <c:v>Adultos (F) (18 – 60)</c:v>
                </c:pt>
                <c:pt idx="6">
                  <c:v>3ra edad (M) (&gt;60)</c:v>
                </c:pt>
                <c:pt idx="7">
                  <c:v>3ra edad (F) (&gt;60)</c:v>
                </c:pt>
              </c:strCache>
            </c:strRef>
          </c:cat>
          <c:val>
            <c:numRef>
              <c:f>Hoja5!$C$2:$C$9</c:f>
              <c:numCache>
                <c:formatCode>0.00%</c:formatCode>
                <c:ptCount val="8"/>
                <c:pt idx="0">
                  <c:v>0.15809523809523809</c:v>
                </c:pt>
                <c:pt idx="1">
                  <c:v>0.12761904761904763</c:v>
                </c:pt>
                <c:pt idx="2">
                  <c:v>6.2857142857142861E-2</c:v>
                </c:pt>
                <c:pt idx="3">
                  <c:v>0.08</c:v>
                </c:pt>
                <c:pt idx="4">
                  <c:v>0.25333333333333335</c:v>
                </c:pt>
                <c:pt idx="5">
                  <c:v>0.22285714285714284</c:v>
                </c:pt>
                <c:pt idx="6">
                  <c:v>6.2857142857142861E-2</c:v>
                </c:pt>
                <c:pt idx="7">
                  <c:v>3.2380952380952385E-2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1-4F6B-AAFB-9C2B0C82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9724432"/>
        <c:axId val="749726592"/>
      </c:barChart>
      <c:catAx>
        <c:axId val="74972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9726592"/>
        <c:crosses val="autoZero"/>
        <c:auto val="1"/>
        <c:lblAlgn val="ctr"/>
        <c:lblOffset val="100"/>
        <c:noMultiLvlLbl val="0"/>
      </c:catAx>
      <c:valAx>
        <c:axId val="74972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4972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4</xdr:row>
      <xdr:rowOff>144640</xdr:rowOff>
    </xdr:from>
    <xdr:to>
      <xdr:col>1</xdr:col>
      <xdr:colOff>825499</xdr:colOff>
      <xdr:row>15</xdr:row>
      <xdr:rowOff>119944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6FC65C-9EF5-147C-115A-82069EAF7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1284111</xdr:colOff>
      <xdr:row>4</xdr:row>
      <xdr:rowOff>7055</xdr:rowOff>
    </xdr:from>
    <xdr:to>
      <xdr:col>2</xdr:col>
      <xdr:colOff>2462389</xdr:colOff>
      <xdr:row>15</xdr:row>
      <xdr:rowOff>3528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7CAA86-7653-86BD-105B-3C2760FF2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7</xdr:row>
      <xdr:rowOff>21167</xdr:rowOff>
    </xdr:from>
    <xdr:to>
      <xdr:col>1</xdr:col>
      <xdr:colOff>931333</xdr:colOff>
      <xdr:row>20</xdr:row>
      <xdr:rowOff>52916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0AEF37-0F72-C553-E632-EAD67497B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1238250</xdr:colOff>
      <xdr:row>7</xdr:row>
      <xdr:rowOff>24699</xdr:rowOff>
    </xdr:from>
    <xdr:to>
      <xdr:col>2</xdr:col>
      <xdr:colOff>2226028</xdr:colOff>
      <xdr:row>20</xdr:row>
      <xdr:rowOff>17639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6FA600-E341-0499-FD0A-56F5AEE40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1499305</xdr:colOff>
      <xdr:row>5</xdr:row>
      <xdr:rowOff>3</xdr:rowOff>
    </xdr:from>
    <xdr:to>
      <xdr:col>2</xdr:col>
      <xdr:colOff>2472972</xdr:colOff>
      <xdr:row>15</xdr:row>
      <xdr:rowOff>141111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DFFB0A-3CFF-EEAD-F351-28DF58BE0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455084</xdr:colOff>
      <xdr:row>5</xdr:row>
      <xdr:rowOff>3527</xdr:rowOff>
    </xdr:from>
    <xdr:to>
      <xdr:col>1</xdr:col>
      <xdr:colOff>927805</xdr:colOff>
      <xdr:row>15</xdr:row>
      <xdr:rowOff>158749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06045C-BFC8-3074-5A2A-2C1D6E3A2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70555</xdr:colOff>
      <xdr:row>10</xdr:row>
      <xdr:rowOff>28225</xdr:rowOff>
    </xdr:from>
    <xdr:to>
      <xdr:col>1</xdr:col>
      <xdr:colOff>1016000</xdr:colOff>
      <xdr:row>23</xdr:row>
      <xdr:rowOff>130527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F35746-9C06-EB9F-A757-C29AC788D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1132416</xdr:colOff>
      <xdr:row>10</xdr:row>
      <xdr:rowOff>52916</xdr:rowOff>
    </xdr:from>
    <xdr:to>
      <xdr:col>2</xdr:col>
      <xdr:colOff>2434166</xdr:colOff>
      <xdr:row>23</xdr:row>
      <xdr:rowOff>134055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D622A9-7BBE-5182-3954-6E9D07191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119945</xdr:colOff>
      <xdr:row>10</xdr:row>
      <xdr:rowOff>151698</xdr:rowOff>
    </xdr:from>
    <xdr:to>
      <xdr:col>1</xdr:col>
      <xdr:colOff>1114778</xdr:colOff>
      <xdr:row>23</xdr:row>
      <xdr:rowOff>17639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C6A4B1-D61C-BF05-D408-6016682E8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1266472</xdr:colOff>
      <xdr:row>10</xdr:row>
      <xdr:rowOff>130531</xdr:rowOff>
    </xdr:from>
    <xdr:to>
      <xdr:col>2</xdr:col>
      <xdr:colOff>2448278</xdr:colOff>
      <xdr:row>23</xdr:row>
      <xdr:rowOff>38806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46FDE2-9E4C-542F-3E08-8F22F9C6E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80" zoomScaleNormal="180" workbookViewId="0">
      <selection activeCell="C19" sqref="C19"/>
    </sheetView>
  </sheetViews>
  <sheetFormatPr baseColWidth="10" defaultColWidth="11.54296875" defaultRowHeight="12.5" x14ac:dyDescent="0.25"/>
  <cols>
    <col min="1" max="3" width="35.7265625" customWidth="1"/>
  </cols>
  <sheetData>
    <row r="1" spans="1:3" ht="14.5" thickBot="1" x14ac:dyDescent="0.3">
      <c r="A1" s="1" t="s">
        <v>0</v>
      </c>
      <c r="B1" s="1" t="s">
        <v>1</v>
      </c>
      <c r="C1" s="1" t="s">
        <v>2</v>
      </c>
    </row>
    <row r="2" spans="1:3" ht="14" x14ac:dyDescent="0.25">
      <c r="A2" s="2" t="s">
        <v>3</v>
      </c>
      <c r="B2" s="3">
        <v>10</v>
      </c>
      <c r="C2" s="6">
        <f>B2/$B$4</f>
        <v>0.83333333333333337</v>
      </c>
    </row>
    <row r="3" spans="1:3" ht="14" x14ac:dyDescent="0.25">
      <c r="A3" s="4" t="s">
        <v>4</v>
      </c>
      <c r="B3" s="5">
        <v>2</v>
      </c>
      <c r="C3" s="6">
        <f>B3/$B$4</f>
        <v>0.16666666666666666</v>
      </c>
    </row>
    <row r="4" spans="1:3" x14ac:dyDescent="0.25">
      <c r="A4" t="s">
        <v>20</v>
      </c>
      <c r="B4">
        <f>SUM(B2:B3)</f>
        <v>12</v>
      </c>
      <c r="C4" s="7">
        <f>SUM(C2:C3)</f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80" zoomScaleNormal="180" workbookViewId="0">
      <selection sqref="A1:XFD1"/>
    </sheetView>
  </sheetViews>
  <sheetFormatPr baseColWidth="10" defaultColWidth="11.54296875" defaultRowHeight="12.5" x14ac:dyDescent="0.25"/>
  <cols>
    <col min="1" max="3" width="35.7265625" customWidth="1"/>
  </cols>
  <sheetData>
    <row r="1" spans="1:3" ht="14.5" thickBot="1" x14ac:dyDescent="0.3">
      <c r="A1" s="1" t="s">
        <v>0</v>
      </c>
      <c r="B1" s="1" t="s">
        <v>1</v>
      </c>
      <c r="C1" s="1" t="s">
        <v>2</v>
      </c>
    </row>
    <row r="2" spans="1:3" ht="14" x14ac:dyDescent="0.25">
      <c r="A2" s="2" t="s">
        <v>5</v>
      </c>
      <c r="B2" s="3">
        <v>12</v>
      </c>
      <c r="C2" s="6">
        <f>B2/$B$7</f>
        <v>0.26666666666666666</v>
      </c>
    </row>
    <row r="3" spans="1:3" ht="14" x14ac:dyDescent="0.25">
      <c r="A3" s="2" t="s">
        <v>6</v>
      </c>
      <c r="B3" s="3">
        <v>10</v>
      </c>
      <c r="C3" s="6">
        <f t="shared" ref="C3:C6" si="0">B3/$B$7</f>
        <v>0.22222222222222221</v>
      </c>
    </row>
    <row r="4" spans="1:3" ht="14" x14ac:dyDescent="0.25">
      <c r="A4" s="2" t="s">
        <v>7</v>
      </c>
      <c r="B4" s="3">
        <v>10</v>
      </c>
      <c r="C4" s="6">
        <f t="shared" si="0"/>
        <v>0.22222222222222221</v>
      </c>
    </row>
    <row r="5" spans="1:3" ht="14" x14ac:dyDescent="0.25">
      <c r="A5" s="2" t="s">
        <v>8</v>
      </c>
      <c r="B5" s="3">
        <v>10</v>
      </c>
      <c r="C5" s="6">
        <f t="shared" si="0"/>
        <v>0.22222222222222221</v>
      </c>
    </row>
    <row r="6" spans="1:3" ht="14" x14ac:dyDescent="0.25">
      <c r="A6" s="4" t="s">
        <v>9</v>
      </c>
      <c r="B6" s="5">
        <v>3</v>
      </c>
      <c r="C6" s="6">
        <f t="shared" si="0"/>
        <v>6.6666666666666666E-2</v>
      </c>
    </row>
    <row r="7" spans="1:3" ht="14" x14ac:dyDescent="0.25">
      <c r="A7" s="8" t="s">
        <v>21</v>
      </c>
      <c r="B7">
        <f>SUM(B2:B6)</f>
        <v>45</v>
      </c>
      <c r="C7" s="7">
        <f>SUM(C2:C6)</f>
        <v>0.99999999999999989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opLeftCell="A3" zoomScale="180" zoomScaleNormal="180" workbookViewId="0">
      <selection sqref="A1:XFD1"/>
    </sheetView>
  </sheetViews>
  <sheetFormatPr baseColWidth="10" defaultColWidth="11.54296875" defaultRowHeight="12.5" x14ac:dyDescent="0.25"/>
  <cols>
    <col min="1" max="3" width="35.7265625" customWidth="1"/>
  </cols>
  <sheetData>
    <row r="1" spans="1:3" ht="14.5" thickBot="1" x14ac:dyDescent="0.3">
      <c r="A1" s="1" t="s">
        <v>0</v>
      </c>
      <c r="B1" s="1" t="s">
        <v>1</v>
      </c>
      <c r="C1" s="1" t="s">
        <v>2</v>
      </c>
    </row>
    <row r="2" spans="1:3" ht="14" x14ac:dyDescent="0.25">
      <c r="A2" s="2" t="s">
        <v>10</v>
      </c>
      <c r="B2" s="3">
        <v>12</v>
      </c>
      <c r="C2" s="6">
        <f>B2/$B$4</f>
        <v>0.52173913043478259</v>
      </c>
    </row>
    <row r="3" spans="1:3" ht="14" x14ac:dyDescent="0.25">
      <c r="A3" s="4" t="s">
        <v>11</v>
      </c>
      <c r="B3" s="5">
        <v>11</v>
      </c>
      <c r="C3" s="6">
        <f>B3/$B$4</f>
        <v>0.47826086956521741</v>
      </c>
    </row>
    <row r="4" spans="1:3" x14ac:dyDescent="0.25">
      <c r="A4" t="s">
        <v>21</v>
      </c>
      <c r="B4">
        <f>SUM(B2:B3)</f>
        <v>23</v>
      </c>
      <c r="C4" s="7">
        <f>SUM(C2:C3)</f>
        <v>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180" zoomScaleNormal="180" workbookViewId="0">
      <selection sqref="A1:XFD1"/>
    </sheetView>
  </sheetViews>
  <sheetFormatPr baseColWidth="10" defaultColWidth="11.54296875" defaultRowHeight="12.5" x14ac:dyDescent="0.25"/>
  <cols>
    <col min="1" max="3" width="35.7265625" customWidth="1"/>
  </cols>
  <sheetData>
    <row r="1" spans="1:3" ht="14.5" thickBot="1" x14ac:dyDescent="0.3">
      <c r="A1" s="1" t="s">
        <v>0</v>
      </c>
      <c r="B1" s="1" t="s">
        <v>1</v>
      </c>
      <c r="C1" s="1" t="s">
        <v>2</v>
      </c>
    </row>
    <row r="2" spans="1:3" ht="14" x14ac:dyDescent="0.25">
      <c r="A2" s="2" t="s">
        <v>12</v>
      </c>
      <c r="B2" s="3">
        <v>10</v>
      </c>
      <c r="C2" s="6">
        <f>B2/$B$10</f>
        <v>0.15873015873015872</v>
      </c>
    </row>
    <row r="3" spans="1:3" ht="14" x14ac:dyDescent="0.25">
      <c r="A3" s="2" t="s">
        <v>13</v>
      </c>
      <c r="B3" s="3">
        <v>8</v>
      </c>
      <c r="C3" s="6">
        <f t="shared" ref="C3:C9" si="0">B3/$B$10</f>
        <v>0.12698412698412698</v>
      </c>
    </row>
    <row r="4" spans="1:3" ht="14" x14ac:dyDescent="0.25">
      <c r="A4" s="2" t="s">
        <v>14</v>
      </c>
      <c r="B4" s="3">
        <v>4</v>
      </c>
      <c r="C4" s="6">
        <f t="shared" si="0"/>
        <v>6.3492063492063489E-2</v>
      </c>
    </row>
    <row r="5" spans="1:3" ht="14" x14ac:dyDescent="0.25">
      <c r="A5" s="2" t="s">
        <v>15</v>
      </c>
      <c r="B5" s="3">
        <v>5</v>
      </c>
      <c r="C5" s="6">
        <f t="shared" si="0"/>
        <v>7.9365079365079361E-2</v>
      </c>
    </row>
    <row r="6" spans="1:3" ht="14" x14ac:dyDescent="0.25">
      <c r="A6" s="2" t="s">
        <v>16</v>
      </c>
      <c r="B6" s="3">
        <v>16</v>
      </c>
      <c r="C6" s="6">
        <f t="shared" si="0"/>
        <v>0.25396825396825395</v>
      </c>
    </row>
    <row r="7" spans="1:3" ht="14" x14ac:dyDescent="0.25">
      <c r="A7" s="2" t="s">
        <v>17</v>
      </c>
      <c r="B7" s="3">
        <v>14</v>
      </c>
      <c r="C7" s="6">
        <f t="shared" si="0"/>
        <v>0.22222222222222221</v>
      </c>
    </row>
    <row r="8" spans="1:3" ht="14" x14ac:dyDescent="0.25">
      <c r="A8" s="2" t="s">
        <v>18</v>
      </c>
      <c r="B8" s="3">
        <v>4</v>
      </c>
      <c r="C8" s="6">
        <f t="shared" si="0"/>
        <v>6.3492063492063489E-2</v>
      </c>
    </row>
    <row r="9" spans="1:3" ht="14.5" thickBot="1" x14ac:dyDescent="0.3">
      <c r="A9" s="4" t="s">
        <v>19</v>
      </c>
      <c r="B9" s="5">
        <v>2</v>
      </c>
      <c r="C9" s="6">
        <f t="shared" si="0"/>
        <v>3.1746031746031744E-2</v>
      </c>
    </row>
    <row r="10" spans="1:3" ht="14" x14ac:dyDescent="0.25">
      <c r="A10" s="8" t="s">
        <v>21</v>
      </c>
      <c r="B10">
        <f>SUM(B2:B9)</f>
        <v>63</v>
      </c>
      <c r="C10" s="7">
        <f>SUM(C2:C9)</f>
        <v>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="180" zoomScaleNormal="180" workbookViewId="0">
      <selection sqref="A1:XFD1"/>
    </sheetView>
  </sheetViews>
  <sheetFormatPr baseColWidth="10" defaultColWidth="11.54296875" defaultRowHeight="12.5" x14ac:dyDescent="0.25"/>
  <cols>
    <col min="1" max="3" width="35.7265625" customWidth="1"/>
  </cols>
  <sheetData>
    <row r="1" spans="1:3" ht="14.5" thickBot="1" x14ac:dyDescent="0.3">
      <c r="A1" s="1" t="s">
        <v>0</v>
      </c>
      <c r="B1" s="1" t="s">
        <v>1</v>
      </c>
      <c r="C1" s="1" t="s">
        <v>2</v>
      </c>
    </row>
    <row r="2" spans="1:3" ht="14" x14ac:dyDescent="0.25">
      <c r="A2" s="2" t="s">
        <v>12</v>
      </c>
      <c r="B2" s="3">
        <v>0.83</v>
      </c>
      <c r="C2" s="6">
        <f>B2/$B$10</f>
        <v>0.15809523809523809</v>
      </c>
    </row>
    <row r="3" spans="1:3" ht="14" x14ac:dyDescent="0.25">
      <c r="A3" s="2" t="s">
        <v>13</v>
      </c>
      <c r="B3" s="3">
        <v>0.67</v>
      </c>
      <c r="C3" s="6">
        <f t="shared" ref="C3:C9" si="0">B3/$B$10</f>
        <v>0.12761904761904763</v>
      </c>
    </row>
    <row r="4" spans="1:3" ht="14" x14ac:dyDescent="0.25">
      <c r="A4" s="2" t="s">
        <v>14</v>
      </c>
      <c r="B4" s="3">
        <v>0.33</v>
      </c>
      <c r="C4" s="6">
        <f t="shared" si="0"/>
        <v>6.2857142857142861E-2</v>
      </c>
    </row>
    <row r="5" spans="1:3" ht="14" x14ac:dyDescent="0.25">
      <c r="A5" s="2" t="s">
        <v>15</v>
      </c>
      <c r="B5" s="3">
        <v>0.42</v>
      </c>
      <c r="C5" s="6">
        <f t="shared" si="0"/>
        <v>0.08</v>
      </c>
    </row>
    <row r="6" spans="1:3" ht="14" x14ac:dyDescent="0.25">
      <c r="A6" s="2" t="s">
        <v>16</v>
      </c>
      <c r="B6" s="3">
        <v>1.33</v>
      </c>
      <c r="C6" s="6">
        <f t="shared" si="0"/>
        <v>0.25333333333333335</v>
      </c>
    </row>
    <row r="7" spans="1:3" ht="14" x14ac:dyDescent="0.25">
      <c r="A7" s="2" t="s">
        <v>17</v>
      </c>
      <c r="B7" s="3">
        <v>1.17</v>
      </c>
      <c r="C7" s="6">
        <f t="shared" si="0"/>
        <v>0.22285714285714284</v>
      </c>
    </row>
    <row r="8" spans="1:3" ht="14" x14ac:dyDescent="0.25">
      <c r="A8" s="2" t="s">
        <v>18</v>
      </c>
      <c r="B8" s="3">
        <v>0.33</v>
      </c>
      <c r="C8" s="6">
        <f t="shared" si="0"/>
        <v>6.2857142857142861E-2</v>
      </c>
    </row>
    <row r="9" spans="1:3" ht="14" x14ac:dyDescent="0.25">
      <c r="A9" s="4" t="s">
        <v>19</v>
      </c>
      <c r="B9" s="5">
        <v>0.17</v>
      </c>
      <c r="C9" s="6">
        <f t="shared" si="0"/>
        <v>3.2380952380952385E-2</v>
      </c>
    </row>
    <row r="10" spans="1:3" ht="14" x14ac:dyDescent="0.25">
      <c r="A10" s="8" t="s">
        <v>21</v>
      </c>
      <c r="B10">
        <f>SUM(B2:B9)</f>
        <v>5.25</v>
      </c>
      <c r="C10" s="7">
        <f>SUM(C2:C9)</f>
        <v>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Efrain Cabrera Escalier</cp:lastModifiedBy>
  <cp:revision>6</cp:revision>
  <dcterms:created xsi:type="dcterms:W3CDTF">2025-05-20T19:06:47Z</dcterms:created>
  <dcterms:modified xsi:type="dcterms:W3CDTF">2025-11-25T19:17:14Z</dcterms:modified>
  <dc:language>es-BO</dc:language>
</cp:coreProperties>
</file>